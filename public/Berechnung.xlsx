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Gemeindefreizeit\2027\Feriendorf Schramberg Eckenhof\"/>
    </mc:Choice>
  </mc:AlternateContent>
  <xr:revisionPtr revIDLastSave="0" documentId="13_ncr:1_{990496FF-5773-4295-9930-57A29FA646B7}" xr6:coauthVersionLast="47" xr6:coauthVersionMax="47" xr10:uidLastSave="{00000000-0000-0000-0000-000000000000}"/>
  <bookViews>
    <workbookView xWindow="77400" yWindow="0" windowWidth="25800" windowHeight="208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H8" i="1"/>
  <c r="I8" i="1" s="1"/>
  <c r="J8" i="1" s="1"/>
  <c r="H9" i="1"/>
  <c r="H10" i="1"/>
  <c r="I7" i="1"/>
  <c r="J7" i="1" s="1"/>
  <c r="I9" i="1"/>
  <c r="J9" i="1" s="1"/>
  <c r="I10" i="1"/>
  <c r="J10" i="1" s="1"/>
  <c r="K8" i="1"/>
  <c r="L8" i="1" s="1"/>
  <c r="M8" i="1" s="1"/>
  <c r="K7" i="1"/>
  <c r="L7" i="1" s="1"/>
  <c r="M7" i="1" s="1"/>
  <c r="K6" i="1"/>
  <c r="L6" i="1" s="1"/>
  <c r="M6" i="1" s="1"/>
  <c r="K10" i="1"/>
  <c r="L10" i="1" s="1"/>
  <c r="M10" i="1" s="1"/>
  <c r="K9" i="1"/>
  <c r="L9" i="1" s="1"/>
  <c r="M9" i="1" s="1"/>
  <c r="H6" i="1"/>
  <c r="I6" i="1" s="1"/>
  <c r="J6" i="1" s="1"/>
  <c r="M16" i="1" l="1"/>
</calcChain>
</file>

<file path=xl/sharedStrings.xml><?xml version="1.0" encoding="utf-8"?>
<sst xmlns="http://schemas.openxmlformats.org/spreadsheetml/2006/main" count="40" uniqueCount="36">
  <si>
    <t xml:space="preserve">Tagespreise Familien 2026 </t>
  </si>
  <si>
    <t xml:space="preserve">Preis A </t>
  </si>
  <si>
    <t xml:space="preserve">Preis B </t>
  </si>
  <si>
    <t xml:space="preserve">Endreinigung/Nebenkosten  </t>
  </si>
  <si>
    <r>
      <t>(Bei einem Aufenthalt unter 7 Nächten)</t>
    </r>
    <r>
      <rPr>
        <b/>
        <sz val="9"/>
        <color rgb="FF000000"/>
        <rFont val="Arial"/>
        <family val="2"/>
      </rPr>
      <t xml:space="preserve"> </t>
    </r>
  </si>
  <si>
    <t xml:space="preserve">6 Personen </t>
  </si>
  <si>
    <t xml:space="preserve">Gästehaus G1-10 </t>
  </si>
  <si>
    <t xml:space="preserve">5 Personen </t>
  </si>
  <si>
    <t xml:space="preserve">18,00 pro Tag </t>
  </si>
  <si>
    <t>Wohnungen G 1-10; haben 2 Duschen-</t>
  </si>
  <si>
    <t xml:space="preserve"> wenn wir eine abschließen, sparen Sie </t>
  </si>
  <si>
    <t xml:space="preserve"> € 30.— pro Woche/ nur möglich bei Aufenthalt von 7 Tagen  </t>
  </si>
  <si>
    <t xml:space="preserve">*Ebenso bei körperlich- oder geistiger Behinderung eines Familienmitgliedes ab 50 % </t>
  </si>
  <si>
    <r>
      <t>Kopie des Behindertenausweises erforderlich</t>
    </r>
    <r>
      <rPr>
        <b/>
        <sz val="10"/>
        <color rgb="FFFF0000"/>
        <rFont val="Arial"/>
        <family val="2"/>
      </rPr>
      <t xml:space="preserve"> </t>
    </r>
  </si>
  <si>
    <t>Kurtaxe Konus</t>
  </si>
  <si>
    <t>Erwachsene € 1,80 pro Tag</t>
  </si>
  <si>
    <t>Kinder ab 10 Jahren und berufliche Betreuer € 0,90 pro Tag</t>
  </si>
  <si>
    <r>
      <t>Für kleine Familien besteht die Möglichkeit in Häusern ein Zimmer zu schließen, Ersparnis € 10.-- / Tag</t>
    </r>
    <r>
      <rPr>
        <sz val="12"/>
        <color rgb="FF000000"/>
        <rFont val="Arial"/>
        <family val="2"/>
      </rPr>
      <t xml:space="preserve"> </t>
    </r>
  </si>
  <si>
    <t>Anzahl</t>
  </si>
  <si>
    <t>Gesamtpreis + 2% Erhöhung 2027</t>
  </si>
  <si>
    <t>Gesamtpreis - 5% Rabatt auf alles</t>
  </si>
  <si>
    <t>Preis Gesamt für den Zeitraum</t>
  </si>
  <si>
    <t>Nutzung der Küche</t>
  </si>
  <si>
    <t>Nutzung aller Räume</t>
  </si>
  <si>
    <t>Ferienhaus mit 6 Betten Typ A und B</t>
  </si>
  <si>
    <t>6 Personen</t>
  </si>
  <si>
    <t xml:space="preserve">Ferienhaus 
Typ C </t>
  </si>
  <si>
    <t>10 Personen</t>
  </si>
  <si>
    <t>4 Personen</t>
  </si>
  <si>
    <t xml:space="preserve">Gästehaus G 11 + App. Villa II </t>
  </si>
  <si>
    <t xml:space="preserve">Villa III 
Ohne Balkon </t>
  </si>
  <si>
    <t xml:space="preserve">Zustellbett 
Wenn möglich  </t>
  </si>
  <si>
    <t>Gesamt-preis</t>
  </si>
  <si>
    <t>Preis / Objekt für den Zeitraum</t>
  </si>
  <si>
    <t>Gemeindefreizeit 11.06.2027 - 13.06.2027</t>
  </si>
  <si>
    <t xml:space="preserve">Einkommensabhängig 
*Nachweis erforderlich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</si>
</sst>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0000"/>
      <name val="Arial"/>
      <family val="2"/>
    </font>
    <font>
      <b/>
      <sz val="13"/>
      <color rgb="FF00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4" fontId="2" fillId="0" borderId="12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44" fontId="2" fillId="0" borderId="0" xfId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4" fontId="12" fillId="0" borderId="12" xfId="1" applyFont="1" applyBorder="1" applyAlignment="1">
      <alignment horizontal="center" vertical="center" wrapText="1"/>
    </xf>
    <xf numFmtId="44" fontId="12" fillId="0" borderId="0" xfId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4" fontId="12" fillId="3" borderId="12" xfId="1" applyFont="1" applyFill="1" applyBorder="1" applyAlignment="1">
      <alignment horizontal="center" vertical="center" wrapText="1"/>
    </xf>
    <xf numFmtId="44" fontId="2" fillId="2" borderId="12" xfId="1" applyFont="1" applyFill="1" applyBorder="1" applyAlignment="1">
      <alignment horizontal="center" vertical="center" wrapText="1"/>
    </xf>
    <xf numFmtId="44" fontId="12" fillId="2" borderId="12" xfId="1" applyFont="1" applyFill="1" applyBorder="1" applyAlignment="1">
      <alignment horizontal="center" vertical="center" wrapText="1"/>
    </xf>
    <xf numFmtId="44" fontId="6" fillId="0" borderId="12" xfId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44" fontId="6" fillId="2" borderId="12" xfId="1" applyFont="1" applyFill="1" applyBorder="1" applyAlignment="1">
      <alignment horizontal="center" vertical="center" wrapText="1"/>
    </xf>
    <xf numFmtId="44" fontId="12" fillId="0" borderId="14" xfId="1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44" fontId="2" fillId="0" borderId="13" xfId="1" applyFont="1" applyBorder="1" applyAlignment="1">
      <alignment horizontal="center" vertical="center" wrapText="1"/>
    </xf>
    <xf numFmtId="44" fontId="12" fillId="0" borderId="13" xfId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5"/>
  <sheetViews>
    <sheetView tabSelected="1" workbookViewId="0">
      <selection activeCell="K27" sqref="K27"/>
    </sheetView>
  </sheetViews>
  <sheetFormatPr baseColWidth="10" defaultColWidth="9.140625" defaultRowHeight="15" x14ac:dyDescent="0.25"/>
  <cols>
    <col min="1" max="1" width="9.140625" style="23"/>
    <col min="2" max="3" width="19.5703125" style="23" customWidth="1"/>
    <col min="4" max="4" width="19.42578125" style="23" customWidth="1"/>
    <col min="5" max="5" width="19.140625" style="23" customWidth="1"/>
    <col min="6" max="6" width="26.85546875" style="23" customWidth="1"/>
    <col min="7" max="7" width="9.140625" style="23"/>
    <col min="8" max="8" width="11.28515625" style="23" bestFit="1" customWidth="1"/>
    <col min="9" max="9" width="16" style="23" customWidth="1"/>
    <col min="10" max="10" width="14.7109375" style="23" customWidth="1"/>
    <col min="11" max="11" width="13.140625" style="23" bestFit="1" customWidth="1"/>
    <col min="12" max="12" width="15.85546875" style="23" customWidth="1"/>
    <col min="13" max="13" width="16.140625" style="23" customWidth="1"/>
    <col min="14" max="16384" width="9.140625" style="23"/>
  </cols>
  <sheetData>
    <row r="2" spans="2:13" ht="20.25" x14ac:dyDescent="0.25">
      <c r="B2" s="37" t="s">
        <v>34</v>
      </c>
    </row>
    <row r="4" spans="2:13" ht="31.5" x14ac:dyDescent="0.25">
      <c r="B4" s="22" t="s">
        <v>0</v>
      </c>
      <c r="C4" s="39" t="s">
        <v>1</v>
      </c>
      <c r="D4" s="39"/>
      <c r="E4" s="22" t="s">
        <v>2</v>
      </c>
      <c r="F4" s="2" t="s">
        <v>3</v>
      </c>
      <c r="G4" s="6" t="s">
        <v>18</v>
      </c>
      <c r="H4" s="26" t="s">
        <v>33</v>
      </c>
      <c r="I4" s="26"/>
      <c r="J4" s="26"/>
      <c r="K4" s="40" t="s">
        <v>21</v>
      </c>
      <c r="L4" s="40"/>
      <c r="M4" s="40"/>
    </row>
    <row r="5" spans="2:13" ht="52.5" customHeight="1" x14ac:dyDescent="0.25">
      <c r="B5" s="22"/>
      <c r="C5" s="41" t="s">
        <v>35</v>
      </c>
      <c r="D5" s="41"/>
      <c r="E5" s="22"/>
      <c r="F5" s="2" t="s">
        <v>4</v>
      </c>
      <c r="G5" s="6"/>
      <c r="H5" s="1" t="s">
        <v>32</v>
      </c>
      <c r="I5" s="1" t="s">
        <v>19</v>
      </c>
      <c r="J5" s="42" t="s">
        <v>20</v>
      </c>
      <c r="K5" s="43" t="s">
        <v>32</v>
      </c>
      <c r="L5" s="43" t="s">
        <v>19</v>
      </c>
      <c r="M5" s="44" t="s">
        <v>20</v>
      </c>
    </row>
    <row r="6" spans="2:13" ht="25.5" x14ac:dyDescent="0.25">
      <c r="B6" s="3" t="s">
        <v>24</v>
      </c>
      <c r="C6" s="45" t="s">
        <v>25</v>
      </c>
      <c r="D6" s="46">
        <v>128</v>
      </c>
      <c r="E6" s="36">
        <v>137</v>
      </c>
      <c r="F6" s="3">
        <v>90</v>
      </c>
      <c r="G6" s="1">
        <v>22</v>
      </c>
      <c r="H6" s="5">
        <f>SUM(D6*2)+F6</f>
        <v>346</v>
      </c>
      <c r="I6" s="5">
        <f>H6*1.02</f>
        <v>352.92</v>
      </c>
      <c r="J6" s="33">
        <f>I6*0.95</f>
        <v>335.274</v>
      </c>
      <c r="K6" s="34">
        <f>SUM(D6*2*G6)+F6</f>
        <v>5722</v>
      </c>
      <c r="L6" s="34">
        <f>K6*1.02</f>
        <v>5836.4400000000005</v>
      </c>
      <c r="M6" s="35">
        <f>L6*0.95</f>
        <v>5544.6180000000004</v>
      </c>
    </row>
    <row r="7" spans="2:13" ht="25.5" x14ac:dyDescent="0.25">
      <c r="B7" s="3" t="s">
        <v>26</v>
      </c>
      <c r="C7" s="45" t="s">
        <v>27</v>
      </c>
      <c r="D7" s="46">
        <v>162.5</v>
      </c>
      <c r="E7" s="36">
        <v>175</v>
      </c>
      <c r="F7" s="3">
        <v>109</v>
      </c>
      <c r="G7" s="1">
        <v>3</v>
      </c>
      <c r="H7" s="5">
        <f t="shared" ref="H7:H10" si="0">SUM(D7*2)+F7</f>
        <v>434</v>
      </c>
      <c r="I7" s="5">
        <f t="shared" ref="I7:I10" si="1">H7*1.02</f>
        <v>442.68</v>
      </c>
      <c r="J7" s="33">
        <f t="shared" ref="J7:J10" si="2">I7*0.95</f>
        <v>420.54599999999999</v>
      </c>
      <c r="K7" s="34">
        <f>SUM(D7*2*G7)+F7</f>
        <v>1084</v>
      </c>
      <c r="L7" s="34">
        <f t="shared" ref="L7:L10" si="3">K7*1.02</f>
        <v>1105.68</v>
      </c>
      <c r="M7" s="35">
        <f t="shared" ref="M7:M10" si="4">L7*0.95</f>
        <v>1050.396</v>
      </c>
    </row>
    <row r="8" spans="2:13" ht="15.75" x14ac:dyDescent="0.25">
      <c r="B8" s="3" t="s">
        <v>6</v>
      </c>
      <c r="C8" s="45" t="s">
        <v>7</v>
      </c>
      <c r="D8" s="46">
        <v>113.5</v>
      </c>
      <c r="E8" s="36">
        <v>121.5</v>
      </c>
      <c r="F8" s="3">
        <v>90</v>
      </c>
      <c r="G8" s="1">
        <v>10</v>
      </c>
      <c r="H8" s="5">
        <f t="shared" si="0"/>
        <v>317</v>
      </c>
      <c r="I8" s="5">
        <f t="shared" si="1"/>
        <v>323.34000000000003</v>
      </c>
      <c r="J8" s="33">
        <f t="shared" si="2"/>
        <v>307.173</v>
      </c>
      <c r="K8" s="34">
        <f>SUM(D8*2*G8)+F8</f>
        <v>2360</v>
      </c>
      <c r="L8" s="34">
        <f t="shared" si="3"/>
        <v>2407.1999999999998</v>
      </c>
      <c r="M8" s="35">
        <f t="shared" si="4"/>
        <v>2286.8399999999997</v>
      </c>
    </row>
    <row r="9" spans="2:13" ht="25.5" x14ac:dyDescent="0.25">
      <c r="B9" s="3" t="s">
        <v>29</v>
      </c>
      <c r="C9" s="45" t="s">
        <v>28</v>
      </c>
      <c r="D9" s="46">
        <v>89.5</v>
      </c>
      <c r="E9" s="36">
        <v>96</v>
      </c>
      <c r="F9" s="3">
        <v>51.5</v>
      </c>
      <c r="G9" s="1">
        <v>1</v>
      </c>
      <c r="H9" s="5">
        <f t="shared" si="0"/>
        <v>230.5</v>
      </c>
      <c r="I9" s="5">
        <f t="shared" si="1"/>
        <v>235.11</v>
      </c>
      <c r="J9" s="33">
        <f t="shared" si="2"/>
        <v>223.3545</v>
      </c>
      <c r="K9" s="34">
        <f>SUM(D9*2*G9)+F9</f>
        <v>230.5</v>
      </c>
      <c r="L9" s="34">
        <f t="shared" si="3"/>
        <v>235.11</v>
      </c>
      <c r="M9" s="35">
        <f t="shared" si="4"/>
        <v>223.3545</v>
      </c>
    </row>
    <row r="10" spans="2:13" ht="25.5" x14ac:dyDescent="0.25">
      <c r="B10" s="3" t="s">
        <v>30</v>
      </c>
      <c r="C10" s="45" t="s">
        <v>5</v>
      </c>
      <c r="D10" s="46">
        <v>119</v>
      </c>
      <c r="E10" s="36">
        <v>127.5</v>
      </c>
      <c r="F10" s="3">
        <v>90</v>
      </c>
      <c r="G10" s="1">
        <v>1</v>
      </c>
      <c r="H10" s="5">
        <f t="shared" si="0"/>
        <v>328</v>
      </c>
      <c r="I10" s="5">
        <f t="shared" si="1"/>
        <v>334.56</v>
      </c>
      <c r="J10" s="33">
        <f t="shared" si="2"/>
        <v>317.83199999999999</v>
      </c>
      <c r="K10" s="34">
        <f>SUM(D10*2*G10)+F10</f>
        <v>328</v>
      </c>
      <c r="L10" s="34">
        <f t="shared" si="3"/>
        <v>334.56</v>
      </c>
      <c r="M10" s="35">
        <f t="shared" si="4"/>
        <v>317.83199999999999</v>
      </c>
    </row>
    <row r="11" spans="2:13" ht="25.5" x14ac:dyDescent="0.25">
      <c r="B11" s="3" t="s">
        <v>31</v>
      </c>
      <c r="C11" s="48" t="s">
        <v>8</v>
      </c>
      <c r="D11" s="48"/>
      <c r="E11" s="4" t="s">
        <v>8</v>
      </c>
      <c r="F11" s="49">
        <v>0</v>
      </c>
      <c r="G11" s="38"/>
      <c r="H11" s="50"/>
      <c r="I11" s="50"/>
      <c r="J11" s="51"/>
      <c r="K11" s="50"/>
      <c r="L11" s="50"/>
      <c r="M11" s="30"/>
    </row>
    <row r="12" spans="2:13" ht="15.75" x14ac:dyDescent="0.25">
      <c r="B12" s="55" t="s">
        <v>22</v>
      </c>
      <c r="C12" s="56"/>
      <c r="D12" s="56"/>
      <c r="E12" s="56"/>
      <c r="F12" s="56"/>
      <c r="G12" s="56"/>
      <c r="H12" s="56"/>
      <c r="I12" s="56"/>
      <c r="J12" s="56"/>
      <c r="K12" s="56"/>
      <c r="L12" s="57"/>
      <c r="M12" s="47">
        <v>400</v>
      </c>
    </row>
    <row r="13" spans="2:13" ht="25.5" customHeight="1" x14ac:dyDescent="0.25">
      <c r="B13" s="52" t="s">
        <v>23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  <c r="M13" s="47">
        <v>300</v>
      </c>
    </row>
    <row r="14" spans="2:13" ht="15.75" x14ac:dyDescent="0.25">
      <c r="B14" s="29"/>
      <c r="C14" s="29"/>
      <c r="D14" s="32"/>
      <c r="E14" s="28"/>
      <c r="F14" s="32"/>
      <c r="G14" s="24"/>
      <c r="H14" s="25"/>
      <c r="I14" s="25"/>
      <c r="J14" s="31"/>
      <c r="K14" s="25"/>
      <c r="L14" s="25"/>
      <c r="M14" s="31"/>
    </row>
    <row r="15" spans="2:13" ht="15.75" x14ac:dyDescent="0.25">
      <c r="B15" s="29"/>
      <c r="C15" s="29"/>
      <c r="D15" s="32"/>
      <c r="E15" s="28"/>
      <c r="F15" s="32"/>
      <c r="G15" s="24"/>
      <c r="H15" s="25"/>
      <c r="I15" s="25"/>
      <c r="J15" s="31"/>
      <c r="K15" s="25"/>
      <c r="L15" s="25"/>
      <c r="M15" s="31"/>
    </row>
    <row r="16" spans="2:13" ht="15.75" x14ac:dyDescent="0.25">
      <c r="B16" s="29"/>
      <c r="C16" s="29"/>
      <c r="D16" s="32"/>
      <c r="E16" s="28"/>
      <c r="F16" s="32"/>
      <c r="G16" s="24"/>
      <c r="H16" s="25"/>
      <c r="I16" s="25"/>
      <c r="J16" s="31"/>
      <c r="K16" s="25"/>
      <c r="L16" s="25"/>
      <c r="M16" s="31">
        <f>SUM(M6:M13)</f>
        <v>10123.040499999999</v>
      </c>
    </row>
    <row r="17" spans="2:10" ht="16.5" x14ac:dyDescent="0.25">
      <c r="B17" s="16" t="s">
        <v>9</v>
      </c>
      <c r="C17" s="17"/>
      <c r="D17" s="17"/>
      <c r="E17" s="17"/>
      <c r="F17" s="18"/>
      <c r="J17" s="27"/>
    </row>
    <row r="18" spans="2:10" ht="16.5" x14ac:dyDescent="0.25">
      <c r="B18" s="16" t="s">
        <v>10</v>
      </c>
      <c r="C18" s="17"/>
      <c r="D18" s="17"/>
      <c r="E18" s="17"/>
      <c r="F18" s="18"/>
    </row>
    <row r="19" spans="2:10" ht="16.5" x14ac:dyDescent="0.25">
      <c r="B19" s="16" t="s">
        <v>11</v>
      </c>
      <c r="C19" s="17"/>
      <c r="D19" s="17"/>
      <c r="E19" s="17"/>
      <c r="F19" s="18"/>
    </row>
    <row r="20" spans="2:10" ht="17.25" thickBot="1" x14ac:dyDescent="0.3">
      <c r="B20" s="7" t="s">
        <v>17</v>
      </c>
      <c r="C20" s="8"/>
      <c r="D20" s="8"/>
      <c r="E20" s="8"/>
      <c r="F20" s="9"/>
    </row>
    <row r="21" spans="2:10" ht="17.25" thickTop="1" x14ac:dyDescent="0.25">
      <c r="B21" s="10" t="s">
        <v>12</v>
      </c>
      <c r="C21" s="11"/>
      <c r="D21" s="11"/>
      <c r="E21" s="11"/>
      <c r="F21" s="12"/>
    </row>
    <row r="22" spans="2:10" ht="17.25" thickBot="1" x14ac:dyDescent="0.3">
      <c r="B22" s="13" t="s">
        <v>13</v>
      </c>
      <c r="C22" s="14"/>
      <c r="D22" s="14"/>
      <c r="E22" s="14"/>
      <c r="F22" s="15"/>
    </row>
    <row r="23" spans="2:10" ht="17.25" thickTop="1" x14ac:dyDescent="0.25">
      <c r="B23" s="10" t="s">
        <v>14</v>
      </c>
      <c r="C23" s="11"/>
      <c r="D23" s="11"/>
      <c r="E23" s="11"/>
      <c r="F23" s="12"/>
    </row>
    <row r="24" spans="2:10" ht="16.5" x14ac:dyDescent="0.25">
      <c r="B24" s="16" t="s">
        <v>15</v>
      </c>
      <c r="C24" s="17"/>
      <c r="D24" s="17"/>
      <c r="E24" s="17"/>
      <c r="F24" s="18"/>
    </row>
    <row r="25" spans="2:10" ht="17.25" thickBot="1" x14ac:dyDescent="0.3">
      <c r="B25" s="19" t="s">
        <v>16</v>
      </c>
      <c r="C25" s="20"/>
      <c r="D25" s="20"/>
      <c r="E25" s="20"/>
      <c r="F25" s="21"/>
    </row>
  </sheetData>
  <mergeCells count="19">
    <mergeCell ref="B13:L13"/>
    <mergeCell ref="B12:L12"/>
    <mergeCell ref="K4:M4"/>
    <mergeCell ref="H4:J4"/>
    <mergeCell ref="B4:B5"/>
    <mergeCell ref="E4:E5"/>
    <mergeCell ref="C4:D4"/>
    <mergeCell ref="C5:D5"/>
    <mergeCell ref="C11:D11"/>
    <mergeCell ref="B25:F25"/>
    <mergeCell ref="B17:F17"/>
    <mergeCell ref="B18:F18"/>
    <mergeCell ref="B19:F19"/>
    <mergeCell ref="B20:F20"/>
    <mergeCell ref="B21:F21"/>
    <mergeCell ref="B22:F22"/>
    <mergeCell ref="B23:F23"/>
    <mergeCell ref="B24:F24"/>
    <mergeCell ref="G4:G5"/>
  </mergeCells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Wiens_Heinrich</dc:creator>
  <cp:lastModifiedBy>Wiens, Heinrich</cp:lastModifiedBy>
  <dcterms:created xsi:type="dcterms:W3CDTF">2015-06-05T18:19:34Z</dcterms:created>
  <dcterms:modified xsi:type="dcterms:W3CDTF">2026-03-26T08:23:41Z</dcterms:modified>
</cp:coreProperties>
</file>